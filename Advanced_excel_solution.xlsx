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1ADBB0-F802-44DD-8C01-B8E24753C8A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xpenses" sheetId="1" r:id="rId1"/>
    <sheet name="Pivot Summary" sheetId="2" r:id="rId2"/>
    <sheet name="Unique Suppli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<sst xmlns="http://schemas.openxmlformats.org/spreadsheetml/2006/main" count="173" uniqueCount="81">
  <si>
    <t>Document Date</t>
  </si>
  <si>
    <t>Supplier</t>
  </si>
  <si>
    <t>Reference</t>
  </si>
  <si>
    <t>Description</t>
  </si>
  <si>
    <t>Tax Inclusive Amount</t>
  </si>
  <si>
    <t>Tax Code</t>
  </si>
  <si>
    <t>Bank Code</t>
  </si>
  <si>
    <t>Account Code</t>
  </si>
  <si>
    <t>Payment Date</t>
  </si>
  <si>
    <t>2/14/2011</t>
  </si>
  <si>
    <t>DV Solutions</t>
  </si>
  <si>
    <t>ST782</t>
  </si>
  <si>
    <t>Opening Balance</t>
  </si>
  <si>
    <t>A</t>
  </si>
  <si>
    <t>BS-600</t>
  </si>
  <si>
    <t>IS-200</t>
  </si>
  <si>
    <t>3/2/2011</t>
  </si>
  <si>
    <t>3/1/2011</t>
  </si>
  <si>
    <t>IS Communications</t>
  </si>
  <si>
    <t>Invoice EXP22</t>
  </si>
  <si>
    <t>Internet Service Provider</t>
  </si>
  <si>
    <t>B1</t>
  </si>
  <si>
    <t>IS-380</t>
  </si>
  <si>
    <t>3/31/2011</t>
  </si>
  <si>
    <t>Miscellany</t>
  </si>
  <si>
    <t>INV1113</t>
  </si>
  <si>
    <t>Subscriptions</t>
  </si>
  <si>
    <t>IS-375</t>
  </si>
  <si>
    <t>4/1/2011</t>
  </si>
  <si>
    <t>3/5/2011</t>
  </si>
  <si>
    <t>EAG Brokers</t>
  </si>
  <si>
    <t>Debt Order</t>
  </si>
  <si>
    <t>Insurance</t>
  </si>
  <si>
    <t>IS-340</t>
  </si>
  <si>
    <t>3/15/2011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</si>
  <si>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</si>
  <si>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</si>
  <si>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</si>
  <si>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</si>
  <si>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</si>
  <si>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</si>
  <si>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</si>
  <si>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</si>
  <si>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</si>
  <si>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4/2/2011</t>
  </si>
  <si>
    <t>Interflora</t>
  </si>
  <si>
    <t>Cash</t>
  </si>
  <si>
    <t>Flowers</t>
  </si>
  <si>
    <t>PC</t>
  </si>
  <si>
    <t>IS-345</t>
  </si>
  <si>
    <t>3/18/2011</t>
  </si>
  <si>
    <t>SQ International</t>
  </si>
  <si>
    <t>TRE998</t>
  </si>
  <si>
    <t>Parking</t>
  </si>
  <si>
    <t>IS-390</t>
  </si>
  <si>
    <t>3/20/2011</t>
  </si>
  <si>
    <t>Example (Pty) Ltd</t>
  </si>
  <si>
    <t>Transfer</t>
  </si>
  <si>
    <t>Inter Account Transfer</t>
  </si>
  <si>
    <t>E</t>
  </si>
  <si>
    <t>BS-399</t>
  </si>
  <si>
    <t>3/26/2011</t>
  </si>
  <si>
    <t>Payroll</t>
  </si>
  <si>
    <t>Salaries</t>
  </si>
  <si>
    <t>IS-365</t>
  </si>
  <si>
    <t>HP Finance</t>
  </si>
  <si>
    <t>Debit Order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</si>
  <si>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</si>
  <si>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</si>
  <si>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</si>
  <si>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</si>
  <si>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</si>
  <si>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</si>
  <si>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</si>
  <si>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</si>
  <si>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</si>
  <si>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5/1/2011</t>
  </si>
  <si>
    <t>PIVOT TABLE FILTERED DATA (IS-375 and IS-390 Only)</t>
  </si>
  <si>
    <t>Total Amount</t>
  </si>
  <si>
    <t>TOTAL</t>
  </si>
  <si>
    <t>UNIQUE SUPPLIER LIST (Power Query Alternative)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</si>
</sst>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K12" sqref="K12"/>
    </sheetView>
  </sheetViews>
  <sheetFormatPr defaultRowHeight="15" x14ac:dyDescent="0.25"/>
  <cols>
    <col min="1" max="1" width="15" customWidth="1"/>
    <col min="2" max="2" width="20" customWidth="1"/>
    <col min="3" max="3" width="15" customWidth="1"/>
    <col min="4" max="4" width="25" customWidth="1"/>
    <col min="5" max="5" width="18" customWidth="1"/>
    <col min="6" max="7" width="12" customWidth="1"/>
    <col min="8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100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179</v>
      </c>
      <c r="F3" s="2" t="s">
        <v>13</v>
      </c>
      <c r="G3" s="2" t="s">
        <v>21</v>
      </c>
      <c r="H3" s="2" t="s">
        <v>22</v>
      </c>
      <c r="I3" s="2" t="s">
        <v>23</v>
      </c>
    </row>
    <row r="4" spans="1:9" x14ac:dyDescent="0.25">
      <c r="A4" s="2" t="s">
        <v>16</v>
      </c>
      <c r="B4" s="2" t="s">
        <v>24</v>
      </c>
      <c r="C4" s="2" t="s">
        <v>25</v>
      </c>
      <c r="D4" s="2" t="s">
        <v>26</v>
      </c>
      <c r="E4" s="2">
        <v>478</v>
      </c>
      <c r="F4" s="2" t="s">
        <v>13</v>
      </c>
      <c r="G4" s="2" t="s">
        <v>21</v>
      </c>
      <c r="H4" s="2" t="s">
        <v>27</v>
      </c>
      <c r="I4" s="2" t="s">
        <v>28</v>
      </c>
    </row>
    <row r="5" spans="1:9" x14ac:dyDescent="0.25">
      <c r="A5" s="2" t="s">
        <v>29</v>
      </c>
      <c r="B5" s="2" t="s">
        <v>30</v>
      </c>
      <c r="C5" s="2" t="s">
        <v>31</v>
      </c>
      <c r="D5" s="2" t="s">
        <v>32</v>
      </c>
      <c r="E5" s="2">
        <v>340</v>
      </c>
      <c r="F5" s="2" t="s">
        <v>13</v>
      </c>
      <c r="G5" s="2" t="s">
        <v>21</v>
      </c>
      <c r="H5" s="2" t="s">
        <v>33</v>
      </c>
      <c r="I5" s="2" t="s">
        <v>29</v>
      </c>
    </row>
    <row r="6" spans="1:9" x14ac:dyDescent="0.25">
      <c r="A6" s="2" t="s">
        <v>34</v>
      </c>
      <c r="B6" s="2" t="s">
        <v>35</v>
      </c>
      <c r="C6" s="2" t="s">
        <v>36</v>
      </c>
      <c r="D6" s="2" t="s">
        <v>37</v>
      </c>
      <c r="E6" s="2">
        <v>50</v>
      </c>
      <c r="F6" s="2" t="s">
        <v>13</v>
      </c>
      <c r="G6" s="2" t="s">
        <v>21</v>
      </c>
      <c r="H6" s="2" t="s">
        <v>38</v>
      </c>
      <c r="I6" s="2" t="s">
        <v>34</v>
      </c>
    </row>
    <row r="7" spans="1:9" x14ac:dyDescent="0.25">
      <c r="A7" s="2" t="s">
        <v>34</v>
      </c>
      <c r="B7" s="2" t="s">
        <v>35</v>
      </c>
      <c r="C7" s="2" t="s">
        <v>36</v>
      </c>
      <c r="D7" s="2" t="s">
        <v>37</v>
      </c>
      <c r="E7" s="2">
        <v>35</v>
      </c>
      <c r="F7" s="2" t="s">
        <v>13</v>
      </c>
      <c r="G7" s="2" t="s">
        <v>39</v>
      </c>
      <c r="H7" s="2" t="s">
        <v>38</v>
      </c>
      <c r="I7" s="2" t="s">
        <v>34</v>
      </c>
    </row>
    <row r="8" spans="1:9" x14ac:dyDescent="0.25">
      <c r="A8" s="2" t="s">
        <v>34</v>
      </c>
      <c r="B8" s="2" t="s">
        <v>40</v>
      </c>
      <c r="C8" s="2" t="s">
        <v>41</v>
      </c>
      <c r="D8" s="2" t="s">
        <v>42</v>
      </c>
      <c r="E8" s="2">
        <v>1000</v>
      </c>
      <c r="F8" s="2" t="s">
        <v>13</v>
      </c>
      <c r="G8" s="2" t="s">
        <v>21</v>
      </c>
      <c r="H8" s="2" t="s">
        <v>43</v>
      </c>
      <c r="I8" s="2" t="s">
        <v>44</v>
      </c>
    </row>
    <row r="9" spans="1:9" x14ac:dyDescent="0.25">
      <c r="A9" s="2" t="s">
        <v>34</v>
      </c>
      <c r="B9" s="2" t="s">
        <v>45</v>
      </c>
      <c r="C9" s="2" t="s">
        <v>46</v>
      </c>
      <c r="D9" s="2" t="s">
        <v>47</v>
      </c>
      <c r="E9" s="2">
        <v>90</v>
      </c>
      <c r="F9" s="2" t="s">
        <v>13</v>
      </c>
      <c r="G9" s="2" t="s">
        <v>48</v>
      </c>
      <c r="H9" s="2" t="s">
        <v>49</v>
      </c>
      <c r="I9" s="2" t="s">
        <v>34</v>
      </c>
    </row>
    <row r="10" spans="1:9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>
        <v>200</v>
      </c>
      <c r="F10" s="2" t="s">
        <v>13</v>
      </c>
      <c r="G10" s="2" t="s">
        <v>21</v>
      </c>
      <c r="H10" s="2" t="s">
        <v>54</v>
      </c>
      <c r="I10" s="2" t="s">
        <v>50</v>
      </c>
    </row>
    <row r="11" spans="1:9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>
        <v>-15000</v>
      </c>
      <c r="F11" s="2" t="s">
        <v>59</v>
      </c>
      <c r="G11" s="2" t="s">
        <v>39</v>
      </c>
      <c r="H11" s="2" t="s">
        <v>60</v>
      </c>
      <c r="I11" s="2" t="s">
        <v>55</v>
      </c>
    </row>
    <row r="12" spans="1:9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>
        <v>15000</v>
      </c>
      <c r="F12" s="2" t="s">
        <v>59</v>
      </c>
      <c r="G12" s="2" t="s">
        <v>21</v>
      </c>
      <c r="H12" s="2" t="s">
        <v>60</v>
      </c>
      <c r="I12" s="2" t="s">
        <v>55</v>
      </c>
    </row>
    <row r="13" spans="1:9" x14ac:dyDescent="0.25">
      <c r="A13" s="2" t="s">
        <v>61</v>
      </c>
      <c r="B13" s="2" t="s">
        <v>56</v>
      </c>
      <c r="C13" s="2" t="s">
        <v>62</v>
      </c>
      <c r="D13" s="2" t="s">
        <v>63</v>
      </c>
      <c r="E13" s="2">
        <v>13000</v>
      </c>
      <c r="F13" s="2" t="s">
        <v>59</v>
      </c>
      <c r="G13" s="2" t="s">
        <v>39</v>
      </c>
      <c r="H13" s="2" t="s">
        <v>64</v>
      </c>
      <c r="I13" s="2" t="s">
        <v>61</v>
      </c>
    </row>
    <row r="14" spans="1:9" x14ac:dyDescent="0.25">
      <c r="A14" s="2" t="s">
        <v>61</v>
      </c>
      <c r="B14" s="2" t="s">
        <v>65</v>
      </c>
      <c r="C14" s="2" t="s">
        <v>66</v>
      </c>
      <c r="D14" s="2" t="s">
        <v>67</v>
      </c>
      <c r="E14" s="2">
        <v>220</v>
      </c>
      <c r="F14" s="2" t="s">
        <v>59</v>
      </c>
      <c r="G14" s="2" t="s">
        <v>21</v>
      </c>
      <c r="H14" s="2" t="s">
        <v>68</v>
      </c>
      <c r="I14" s="2" t="s">
        <v>61</v>
      </c>
    </row>
    <row r="15" spans="1:9" x14ac:dyDescent="0.25">
      <c r="A15" s="2" t="s">
        <v>61</v>
      </c>
      <c r="B15" s="2" t="s">
        <v>65</v>
      </c>
      <c r="C15" s="2" t="s">
        <v>66</v>
      </c>
      <c r="D15" s="2" t="s">
        <v>69</v>
      </c>
      <c r="E15" s="2">
        <v>100</v>
      </c>
      <c r="F15" s="2" t="s">
        <v>59</v>
      </c>
      <c r="G15" s="2" t="s">
        <v>21</v>
      </c>
      <c r="H15" s="2" t="s">
        <v>70</v>
      </c>
      <c r="I15" s="2" t="s">
        <v>61</v>
      </c>
    </row>
    <row r="16" spans="1:9" x14ac:dyDescent="0.25">
      <c r="A16" s="2" t="s">
        <v>61</v>
      </c>
      <c r="B16" s="2" t="s">
        <v>71</v>
      </c>
      <c r="C16" s="2" t="s">
        <v>66</v>
      </c>
      <c r="D16" s="2" t="s">
        <v>72</v>
      </c>
      <c r="E16" s="2">
        <v>6400</v>
      </c>
      <c r="F16" s="2" t="s">
        <v>13</v>
      </c>
      <c r="G16" s="2" t="s">
        <v>21</v>
      </c>
      <c r="H16" s="2" t="s">
        <v>73</v>
      </c>
      <c r="I16" s="2" t="s">
        <v>61</v>
      </c>
    </row>
    <row r="17" spans="1:9" x14ac:dyDescent="0.25">
      <c r="A17" s="2" t="s">
        <v>23</v>
      </c>
      <c r="B17" s="2" t="s">
        <v>56</v>
      </c>
      <c r="C17" s="2" t="s">
        <v>36</v>
      </c>
      <c r="D17" s="2" t="s">
        <v>74</v>
      </c>
      <c r="E17" s="2">
        <v>100</v>
      </c>
      <c r="F17" s="2" t="s">
        <v>59</v>
      </c>
      <c r="G17" s="2" t="s">
        <v>21</v>
      </c>
      <c r="H17" s="2" t="s">
        <v>60</v>
      </c>
      <c r="I17" s="2" t="s">
        <v>23</v>
      </c>
    </row>
    <row r="18" spans="1:9" x14ac:dyDescent="0.25">
      <c r="A18" s="2" t="s">
        <v>23</v>
      </c>
      <c r="B18" s="2" t="s">
        <v>56</v>
      </c>
      <c r="C18" s="2" t="s">
        <v>36</v>
      </c>
      <c r="D18" s="2" t="s">
        <v>74</v>
      </c>
      <c r="E18" s="2">
        <v>-100</v>
      </c>
      <c r="F18" s="2" t="s">
        <v>59</v>
      </c>
      <c r="G18" s="2" t="s">
        <v>48</v>
      </c>
      <c r="H18" s="2" t="s">
        <v>60</v>
      </c>
      <c r="I18" s="2" t="s">
        <v>23</v>
      </c>
    </row>
    <row r="19" spans="1:9" x14ac:dyDescent="0.25">
      <c r="A19" s="2" t="s">
        <v>28</v>
      </c>
      <c r="B19" s="2" t="s">
        <v>18</v>
      </c>
      <c r="C19" s="2" t="s">
        <v>75</v>
      </c>
      <c r="D19" s="2" t="s">
        <v>20</v>
      </c>
      <c r="E19" s="2">
        <v>179</v>
      </c>
      <c r="F19" s="2" t="s">
        <v>13</v>
      </c>
      <c r="G19" s="2" t="s">
        <v>21</v>
      </c>
      <c r="H19" s="2" t="s">
        <v>22</v>
      </c>
      <c r="I19" s="2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7" sqref="F7"/>
    </sheetView>
  </sheetViews>
  <sheetFormatPr defaultRowHeight="15" x14ac:dyDescent="0.25"/>
  <cols>
    <col min="1" max="1" width="48.140625" bestFit="1" customWidth="1"/>
    <col min="2" max="2" width="15" customWidth="1"/>
  </cols>
  <sheetData>
    <row r="1" spans="1:2" x14ac:dyDescent="0.25">
      <c r="A1" s="3" t="s">
        <v>77</v>
      </c>
      <c r="B1" s="2"/>
    </row>
    <row r="2" spans="1:2" x14ac:dyDescent="0.25">
      <c r="A2" s="3"/>
      <c r="B2" s="2"/>
    </row>
    <row r="3" spans="1:2" x14ac:dyDescent="0.25">
      <c r="A3" s="1" t="s">
        <v>1</v>
      </c>
      <c r="B3" s="1" t="s">
        <v>78</v>
      </c>
    </row>
    <row r="4" spans="1:2" x14ac:dyDescent="0.25">
      <c r="A4" s="2" t="s">
        <v>24</v>
      </c>
      <c r="B4" s="2">
        <v>478</v>
      </c>
    </row>
    <row r="5" spans="1:2" x14ac:dyDescent="0.25">
      <c r="A5" s="2" t="s">
        <v>51</v>
      </c>
      <c r="B5" s="2">
        <v>200</v>
      </c>
    </row>
    <row r="6" spans="1:2" x14ac:dyDescent="0.25">
      <c r="A6" s="2" t="s">
        <v>18</v>
      </c>
      <c r="B6" s="2">
        <v>179</v>
      </c>
    </row>
    <row r="7" spans="1:2" x14ac:dyDescent="0.25">
      <c r="A7" s="1" t="s">
        <v>79</v>
      </c>
      <c r="B7" s="1">
        <f>SUM(B4:B6)</f>
        <v>857</v>
      </c>
    </row>
  </sheetData>
  <mergeCells count="1"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/>
  </sheetViews>
  <sheetFormatPr defaultRowHeight="15" x14ac:dyDescent="0.25"/>
  <cols>
    <col min="1" max="1" width="45.85546875" bestFit="1" customWidth="1"/>
  </cols>
  <sheetData>
    <row r="1" spans="1:4" x14ac:dyDescent="0.25">
      <c r="A1" s="4" t="s">
        <v>80</v>
      </c>
      <c r="B1" s="5"/>
      <c r="C1" s="5"/>
      <c r="D1" s="5"/>
    </row>
    <row r="2" spans="1:4" x14ac:dyDescent="0.25">
      <c r="A2" s="5"/>
      <c r="B2" s="5"/>
      <c r="C2" s="5"/>
      <c r="D2" s="5"/>
    </row>
    <row r="3" spans="1:4" x14ac:dyDescent="0.25">
      <c r="A3" s="4" t="s">
        <v>1</v>
      </c>
      <c r="B3" s="5"/>
      <c r="C3" s="5"/>
      <c r="D3" s="5"/>
    </row>
    <row r="4" spans="1:4" x14ac:dyDescent="0.25">
      <c r="A4" s="5" t="s">
        <v>35</v>
      </c>
      <c r="B4" s="5"/>
      <c r="C4" s="5"/>
      <c r="D4" s="5"/>
    </row>
    <row r="5" spans="1:4" x14ac:dyDescent="0.25">
      <c r="A5" s="5" t="s">
        <v>10</v>
      </c>
      <c r="B5" s="5"/>
      <c r="C5" s="5"/>
      <c r="D5" s="5"/>
    </row>
    <row r="6" spans="1:4" x14ac:dyDescent="0.25">
      <c r="A6" s="5" t="s">
        <v>30</v>
      </c>
      <c r="B6" s="5"/>
      <c r="C6" s="5"/>
      <c r="D6" s="5"/>
    </row>
    <row r="7" spans="1:4" x14ac:dyDescent="0.25">
      <c r="A7" s="5" t="s">
        <v>56</v>
      </c>
      <c r="B7" s="5"/>
      <c r="C7" s="5"/>
      <c r="D7" s="5"/>
    </row>
    <row r="8" spans="1:4" x14ac:dyDescent="0.25">
      <c r="A8" s="5" t="s">
        <v>65</v>
      </c>
      <c r="B8" s="5"/>
      <c r="C8" s="5"/>
      <c r="D8" s="5"/>
    </row>
    <row r="9" spans="1:4" x14ac:dyDescent="0.25">
      <c r="A9" s="5" t="s">
        <v>40</v>
      </c>
      <c r="B9" s="5"/>
      <c r="C9" s="5"/>
      <c r="D9" s="5"/>
    </row>
    <row r="10" spans="1:4" x14ac:dyDescent="0.25">
      <c r="A10" s="5" t="s">
        <v>18</v>
      </c>
      <c r="B10" s="5"/>
      <c r="C10" s="5"/>
      <c r="D10" s="5"/>
    </row>
    <row r="11" spans="1:4" x14ac:dyDescent="0.25">
      <c r="A11" s="5" t="s">
        <v>45</v>
      </c>
      <c r="B11" s="5"/>
      <c r="C11" s="5"/>
      <c r="D11" s="5"/>
    </row>
    <row r="12" spans="1:4" x14ac:dyDescent="0.25">
      <c r="A12" s="5" t="s">
        <v>24</v>
      </c>
      <c r="B12" s="5"/>
      <c r="C12" s="5"/>
      <c r="D12" s="5"/>
    </row>
    <row r="13" spans="1:4" x14ac:dyDescent="0.25">
      <c r="A13" s="5" t="s">
        <v>71</v>
      </c>
      <c r="B13" s="5"/>
      <c r="C13" s="5"/>
      <c r="D13" s="5"/>
    </row>
    <row r="14" spans="1:4" x14ac:dyDescent="0.25">
      <c r="A14" s="5" t="s">
        <v>51</v>
      </c>
      <c r="B14" s="5"/>
      <c r="C14" s="5"/>
      <c r="D1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Pivot Summary</vt:lpstr>
      <vt:lpstr>Unique 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jigneshjagt32@gmail.com</cp:lastModifiedBy>
  <dcterms:created xsi:type="dcterms:W3CDTF">2026-04-16T06:25:40Z</dcterms:created>
  <dcterms:modified xsi:type="dcterms:W3CDTF">2026-04-16T06:33:03Z</dcterms:modified>
</cp:coreProperties>
</file>